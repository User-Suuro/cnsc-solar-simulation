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elect\Desktop\2025 ENERGY AUDIT PICTURE\"/>
    </mc:Choice>
  </mc:AlternateContent>
  <xr:revisionPtr revIDLastSave="0" documentId="13_ncr:1_{11D1C66E-426E-44F9-9323-61BB646698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TER METER CONSUMPTION 1" sheetId="2" r:id="rId1"/>
    <sheet name="WATER CONSUMPTION METER 2" sheetId="3" r:id="rId2"/>
    <sheet name="CNSC ELECTRICITY BILL 2017-2024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  <c r="D22" i="2"/>
  <c r="E22" i="2"/>
  <c r="F22" i="2"/>
  <c r="G22" i="2"/>
  <c r="H22" i="2"/>
  <c r="H44" i="3"/>
  <c r="G44" i="3"/>
  <c r="F44" i="3"/>
  <c r="E44" i="3"/>
  <c r="D44" i="3"/>
  <c r="C44" i="3"/>
  <c r="H44" i="2"/>
  <c r="G44" i="2"/>
  <c r="F44" i="2"/>
  <c r="E44" i="2"/>
  <c r="D44" i="2"/>
  <c r="C44" i="2"/>
  <c r="I42" i="4"/>
  <c r="I21" i="4"/>
  <c r="H23" i="3"/>
  <c r="H42" i="4"/>
  <c r="G42" i="4"/>
  <c r="F42" i="4"/>
  <c r="E42" i="4"/>
  <c r="D42" i="4"/>
  <c r="C42" i="4"/>
  <c r="B42" i="4"/>
  <c r="H21" i="4"/>
  <c r="G21" i="4"/>
  <c r="F21" i="4"/>
  <c r="E21" i="4"/>
  <c r="D21" i="4"/>
  <c r="C21" i="4"/>
  <c r="B21" i="4"/>
  <c r="G23" i="3"/>
  <c r="F23" i="3"/>
  <c r="E23" i="3"/>
  <c r="D23" i="3"/>
  <c r="C23" i="3"/>
</calcChain>
</file>

<file path=xl/sharedStrings.xml><?xml version="1.0" encoding="utf-8"?>
<sst xmlns="http://schemas.openxmlformats.org/spreadsheetml/2006/main" count="106" uniqueCount="26">
  <si>
    <t>CNSC MAIN CAMPUS</t>
  </si>
  <si>
    <t>Account No.</t>
  </si>
  <si>
    <t>Meter No. 1</t>
  </si>
  <si>
    <t>Water Consumption in Cubic Meter per Month</t>
  </si>
  <si>
    <t>Water Bills in Php per Month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</si>
  <si>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</si>
  <si>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</si>
  <si>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</si>
  <si>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</si>
  <si>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</si>
  <si>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</si>
  <si>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</si>
  <si>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</si>
  <si>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</si>
  <si>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</si>
  <si>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</si>
  <si>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</si>
  <si>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31919.84.</t>
  </si>
  <si>
    <t>December</t>
  </si>
  <si>
    <t>Total</t>
  </si>
  <si>
    <t>Meter No. 2</t>
  </si>
  <si>
    <t>STUCK UP</t>
  </si>
  <si>
    <t>Electric Energy Consumption in Kilowatts Hour per Month</t>
  </si>
  <si>
    <t>Electric Bills in Php per Month</t>
  </si>
  <si>
    <t xml:space="preserve">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</si>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</sst>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rgb="FFFF0000"/>
      <name val="Calibri"/>
      <charset val="134"/>
      <scheme val="minor"/>
    </font>
    <font>
      <sz val="12"/>
      <name val="Times New Roman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2">
    <xf numFmtId="0" fontId="0" fillId="0" borderId="0" xfId="0"/>
    <xf numFmtId="0" fontId="3" fillId="0" borderId="9" xfId="0" applyFon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4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" fontId="0" fillId="0" borderId="9" xfId="0" applyNumberForma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0" borderId="9" xfId="0" applyNumberFormat="1" applyFont="1" applyBorder="1" applyAlignment="1">
      <alignment horizontal="center"/>
    </xf>
    <xf numFmtId="3" fontId="2" fillId="0" borderId="9" xfId="0" applyNumberFormat="1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" fontId="2" fillId="0" borderId="9" xfId="0" applyNumberFormat="1" applyFont="1" applyBorder="1"/>
    <xf numFmtId="43" fontId="2" fillId="0" borderId="9" xfId="1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0" borderId="9" xfId="0" applyBorder="1" applyAlignment="1">
      <alignment horizontal="center"/>
    </xf>
    <xf numFmtId="4" fontId="4" fillId="0" borderId="9" xfId="0" applyNumberFormat="1" applyFont="1" applyBorder="1"/>
    <xf numFmtId="4" fontId="0" fillId="0" borderId="9" xfId="0" applyNumberFormat="1" applyBorder="1"/>
    <xf numFmtId="0" fontId="2" fillId="0" borderId="9" xfId="0" applyFont="1" applyBorder="1"/>
    <xf numFmtId="43" fontId="0" fillId="0" borderId="9" xfId="1" applyFont="1" applyBorder="1"/>
    <xf numFmtId="3" fontId="7" fillId="0" borderId="9" xfId="0" applyNumberFormat="1" applyFont="1" applyBorder="1" applyAlignment="1">
      <alignment horizontal="center"/>
    </xf>
    <xf numFmtId="4" fontId="7" fillId="0" borderId="9" xfId="0" applyNumberFormat="1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4" fontId="6" fillId="0" borderId="9" xfId="0" applyNumberFormat="1" applyFont="1" applyBorder="1"/>
    <xf numFmtId="4" fontId="6" fillId="0" borderId="9" xfId="0" applyNumberFormat="1" applyFont="1" applyBorder="1" applyAlignment="1">
      <alignment horizontal="center"/>
    </xf>
    <xf numFmtId="4" fontId="7" fillId="0" borderId="9" xfId="0" applyNumberFormat="1" applyFont="1" applyBorder="1"/>
    <xf numFmtId="43" fontId="2" fillId="0" borderId="9" xfId="0" applyNumberFormat="1" applyFont="1" applyBorder="1" applyAlignment="1">
      <alignment horizontal="center"/>
    </xf>
    <xf numFmtId="4" fontId="7" fillId="0" borderId="9" xfId="0" applyNumberFormat="1" applyFont="1" applyBorder="1" applyAlignment="1">
      <alignment horizontal="center" vertical="center"/>
    </xf>
    <xf numFmtId="43" fontId="7" fillId="0" borderId="9" xfId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4" fontId="7" fillId="0" borderId="0" xfId="0" applyNumberFormat="1" applyFont="1" applyBorder="1" applyAlignment="1">
      <alignment horizontal="center"/>
    </xf>
    <xf numFmtId="4" fontId="7" fillId="0" borderId="0" xfId="0" applyNumberFormat="1" applyFont="1" applyBorder="1"/>
    <xf numFmtId="4" fontId="0" fillId="0" borderId="0" xfId="0" applyNumberFormat="1" applyBorder="1"/>
    <xf numFmtId="4" fontId="4" fillId="0" borderId="0" xfId="0" applyNumberFormat="1" applyFont="1" applyBorder="1" applyAlignment="1">
      <alignment horizontal="center"/>
    </xf>
    <xf numFmtId="4" fontId="4" fillId="0" borderId="0" xfId="0" applyNumberFormat="1" applyFont="1" applyBorder="1"/>
    <xf numFmtId="4" fontId="6" fillId="0" borderId="0" xfId="0" applyNumberFormat="1" applyFont="1" applyBorder="1"/>
    <xf numFmtId="4" fontId="2" fillId="0" borderId="0" xfId="0" applyNumberFormat="1" applyFont="1" applyBorder="1"/>
    <xf numFmtId="0" fontId="2" fillId="0" borderId="0" xfId="0" applyFont="1" applyBorder="1"/>
    <xf numFmtId="0" fontId="0" fillId="0" borderId="0" xfId="0" applyBorder="1"/>
    <xf numFmtId="3" fontId="4" fillId="0" borderId="0" xfId="0" applyNumberFormat="1" applyFon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4" fontId="6" fillId="0" borderId="0" xfId="0" applyNumberFormat="1" applyFont="1" applyBorder="1" applyAlignment="1">
      <alignment horizontal="center"/>
    </xf>
    <xf numFmtId="43" fontId="0" fillId="0" borderId="0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zoomScaleNormal="100" workbookViewId="0">
      <selection activeCell="R17" sqref="R17"/>
    </sheetView>
  </sheetViews>
  <sheetFormatPr defaultColWidth="9" defaultRowHeight="15"/>
  <cols>
    <col min="1" max="1" width="6" customWidth="1"/>
    <col min="2" max="2" width="11" customWidth="1"/>
    <col min="3" max="3" width="10.42578125" customWidth="1"/>
    <col min="4" max="4" width="9.85546875" customWidth="1"/>
    <col min="5" max="5" width="10.140625" customWidth="1"/>
    <col min="6" max="6" width="10.42578125" customWidth="1"/>
    <col min="7" max="7" width="10.140625" customWidth="1"/>
    <col min="8" max="8" width="9.85546875" customWidth="1"/>
    <col min="10" max="10" width="12" customWidth="1"/>
    <col min="11" max="11" width="10.140625" customWidth="1"/>
    <col min="12" max="12" width="10" customWidth="1"/>
    <col min="13" max="13" width="10.140625" customWidth="1"/>
    <col min="14" max="14" width="10.5703125" customWidth="1"/>
    <col min="15" max="15" width="10.5703125"/>
    <col min="16" max="16" width="10.140625" bestFit="1" customWidth="1"/>
  </cols>
  <sheetData>
    <row r="1" spans="1:16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3" spans="1:16" ht="15.75">
      <c r="B3" s="14" t="s">
        <v>1</v>
      </c>
      <c r="J3" s="14"/>
    </row>
    <row r="4" spans="1:16" ht="15.75">
      <c r="B4" s="14" t="s">
        <v>2</v>
      </c>
      <c r="C4" s="15"/>
      <c r="J4" s="14"/>
      <c r="K4" s="15"/>
    </row>
    <row r="5" spans="1:16" ht="15.75">
      <c r="B5" s="14"/>
      <c r="C5" s="15"/>
      <c r="J5" s="14"/>
      <c r="K5" s="15"/>
    </row>
    <row r="6" spans="1:16">
      <c r="B6" s="36" t="s">
        <v>3</v>
      </c>
      <c r="C6" s="37"/>
      <c r="D6" s="37"/>
      <c r="E6" s="37"/>
      <c r="F6" s="37"/>
      <c r="G6" s="37"/>
      <c r="H6" s="38"/>
      <c r="J6" s="54"/>
      <c r="K6" s="54"/>
      <c r="L6" s="54"/>
      <c r="M6" s="54"/>
      <c r="N6" s="54"/>
      <c r="O6" s="54"/>
      <c r="P6" s="54"/>
    </row>
    <row r="7" spans="1:16">
      <c r="B7" s="39"/>
      <c r="C7" s="40"/>
      <c r="D7" s="40"/>
      <c r="E7" s="40"/>
      <c r="F7" s="40"/>
      <c r="G7" s="40"/>
      <c r="H7" s="41"/>
      <c r="J7" s="54"/>
      <c r="K7" s="54"/>
      <c r="L7" s="54"/>
      <c r="M7" s="54"/>
      <c r="N7" s="54"/>
      <c r="O7" s="54"/>
      <c r="P7" s="54"/>
    </row>
    <row r="8" spans="1:16">
      <c r="B8" s="42" t="s">
        <v>5</v>
      </c>
      <c r="C8" s="34">
        <v>2019</v>
      </c>
      <c r="D8" s="34">
        <v>2020</v>
      </c>
      <c r="E8" s="34">
        <v>2021</v>
      </c>
      <c r="F8" s="44">
        <v>2022</v>
      </c>
      <c r="G8" s="34">
        <v>2023</v>
      </c>
      <c r="H8" s="34">
        <v>2024</v>
      </c>
      <c r="J8" s="55"/>
      <c r="K8" s="54"/>
      <c r="L8" s="54"/>
      <c r="M8" s="54"/>
      <c r="N8" s="56"/>
      <c r="O8" s="54"/>
      <c r="P8" s="54"/>
    </row>
    <row r="9" spans="1:16">
      <c r="B9" s="43"/>
      <c r="C9" s="35"/>
      <c r="D9" s="35"/>
      <c r="E9" s="35"/>
      <c r="F9" s="45"/>
      <c r="G9" s="35"/>
      <c r="H9" s="35"/>
      <c r="J9" s="55"/>
      <c r="K9" s="54"/>
      <c r="L9" s="54"/>
      <c r="M9" s="54"/>
      <c r="N9" s="56"/>
      <c r="O9" s="54"/>
      <c r="P9" s="54"/>
    </row>
    <row r="10" spans="1:16" ht="15.75">
      <c r="B10" s="1" t="s">
        <v>6</v>
      </c>
      <c r="C10" s="3">
        <v>1228</v>
      </c>
      <c r="D10" s="3">
        <v>1632</v>
      </c>
      <c r="E10" s="3">
        <v>985</v>
      </c>
      <c r="F10" s="3">
        <v>643</v>
      </c>
      <c r="G10" s="3">
        <v>1216</v>
      </c>
      <c r="H10" s="3">
        <v>957</v>
      </c>
      <c r="J10" s="57"/>
      <c r="K10" s="61"/>
      <c r="L10" s="61"/>
      <c r="M10" s="61"/>
      <c r="N10" s="61"/>
      <c r="O10" s="60"/>
      <c r="P10" s="67"/>
    </row>
    <row r="11" spans="1:16" ht="15.75">
      <c r="B11" s="1" t="s">
        <v>7</v>
      </c>
      <c r="C11" s="3">
        <v>1643</v>
      </c>
      <c r="D11" s="3">
        <v>1135</v>
      </c>
      <c r="E11" s="3">
        <v>1031</v>
      </c>
      <c r="F11" s="3">
        <v>804</v>
      </c>
      <c r="G11" s="3">
        <v>1287</v>
      </c>
      <c r="H11" s="3">
        <v>978</v>
      </c>
      <c r="J11" s="57"/>
      <c r="K11" s="61"/>
      <c r="L11" s="61"/>
      <c r="M11" s="61"/>
      <c r="N11" s="61"/>
      <c r="O11" s="60"/>
      <c r="P11" s="67"/>
    </row>
    <row r="12" spans="1:16" ht="15.75">
      <c r="B12" s="1" t="s">
        <v>8</v>
      </c>
      <c r="C12" s="3">
        <v>1781</v>
      </c>
      <c r="D12" s="3">
        <v>570</v>
      </c>
      <c r="E12" s="3">
        <v>1204</v>
      </c>
      <c r="F12" s="3">
        <v>915</v>
      </c>
      <c r="G12" s="3">
        <v>1126</v>
      </c>
      <c r="H12" s="21">
        <v>934</v>
      </c>
      <c r="J12" s="57"/>
      <c r="K12" s="61"/>
      <c r="L12" s="61"/>
      <c r="M12" s="61"/>
      <c r="N12" s="61"/>
      <c r="O12" s="60"/>
      <c r="P12" s="58"/>
    </row>
    <row r="13" spans="1:16" ht="15.75">
      <c r="B13" s="1" t="s">
        <v>9</v>
      </c>
      <c r="C13" s="3">
        <v>1623</v>
      </c>
      <c r="D13" s="3">
        <v>570</v>
      </c>
      <c r="E13" s="3">
        <v>1111</v>
      </c>
      <c r="F13" s="3">
        <v>1127</v>
      </c>
      <c r="G13" s="3">
        <v>1096</v>
      </c>
      <c r="H13" s="3">
        <v>1097</v>
      </c>
      <c r="J13" s="57"/>
      <c r="K13" s="61"/>
      <c r="L13" s="61"/>
      <c r="M13" s="61"/>
      <c r="N13" s="61"/>
      <c r="O13" s="60"/>
      <c r="P13" s="61"/>
    </row>
    <row r="14" spans="1:16" ht="15.75">
      <c r="B14" s="1" t="s">
        <v>10</v>
      </c>
      <c r="C14" s="3">
        <v>1026</v>
      </c>
      <c r="D14" s="3">
        <v>778</v>
      </c>
      <c r="E14" s="3">
        <v>950</v>
      </c>
      <c r="F14" s="3">
        <v>750</v>
      </c>
      <c r="G14" s="3">
        <v>1516</v>
      </c>
      <c r="H14" s="16">
        <v>901</v>
      </c>
      <c r="J14" s="57"/>
      <c r="K14" s="61"/>
      <c r="L14" s="61"/>
      <c r="M14" s="61"/>
      <c r="N14" s="61"/>
      <c r="O14" s="60"/>
      <c r="P14" s="68"/>
    </row>
    <row r="15" spans="1:16" ht="15.75">
      <c r="B15" s="1" t="s">
        <v>11</v>
      </c>
      <c r="C15" s="3">
        <v>698</v>
      </c>
      <c r="D15" s="3">
        <v>788</v>
      </c>
      <c r="E15" s="3">
        <v>939</v>
      </c>
      <c r="F15" s="3">
        <v>770</v>
      </c>
      <c r="G15" s="3">
        <v>949</v>
      </c>
      <c r="H15" s="2">
        <v>830</v>
      </c>
      <c r="J15" s="57"/>
      <c r="K15" s="61"/>
      <c r="L15" s="61"/>
      <c r="M15" s="61"/>
      <c r="N15" s="61"/>
      <c r="O15" s="60"/>
      <c r="P15" s="68"/>
    </row>
    <row r="16" spans="1:16" ht="15.75">
      <c r="B16" s="1" t="s">
        <v>12</v>
      </c>
      <c r="C16" s="3">
        <v>838</v>
      </c>
      <c r="D16" s="3">
        <v>573</v>
      </c>
      <c r="E16" s="3">
        <v>878</v>
      </c>
      <c r="F16" s="16">
        <v>755</v>
      </c>
      <c r="G16" s="16">
        <v>852</v>
      </c>
      <c r="H16" s="2">
        <v>872</v>
      </c>
      <c r="J16" s="69"/>
      <c r="K16" s="61"/>
      <c r="L16" s="61"/>
      <c r="M16" s="61"/>
      <c r="N16" s="60"/>
      <c r="O16" s="60"/>
      <c r="P16" s="68"/>
    </row>
    <row r="17" spans="2:16" ht="15.75">
      <c r="B17" s="4" t="s">
        <v>13</v>
      </c>
      <c r="C17" s="3">
        <v>1020</v>
      </c>
      <c r="D17" s="3">
        <v>890</v>
      </c>
      <c r="E17" s="3">
        <v>971</v>
      </c>
      <c r="F17" s="16">
        <v>973</v>
      </c>
      <c r="G17" s="16">
        <v>863</v>
      </c>
      <c r="H17" s="3">
        <v>949</v>
      </c>
      <c r="J17" s="69"/>
      <c r="K17" s="61"/>
      <c r="L17" s="61"/>
      <c r="M17" s="61"/>
      <c r="N17" s="60"/>
      <c r="O17" s="60"/>
      <c r="P17" s="61"/>
    </row>
    <row r="18" spans="2:16" ht="15.75">
      <c r="B18" s="4" t="s">
        <v>14</v>
      </c>
      <c r="C18" s="3">
        <v>1075</v>
      </c>
      <c r="D18" s="3">
        <v>798</v>
      </c>
      <c r="E18" s="3">
        <v>956</v>
      </c>
      <c r="F18" s="16">
        <v>943</v>
      </c>
      <c r="G18" s="16">
        <v>1076</v>
      </c>
      <c r="H18" s="23">
        <v>1517</v>
      </c>
      <c r="J18" s="69"/>
      <c r="K18" s="61"/>
      <c r="L18" s="61"/>
      <c r="M18" s="61"/>
      <c r="N18" s="60"/>
      <c r="O18" s="60"/>
      <c r="P18" s="70"/>
    </row>
    <row r="19" spans="2:16" ht="15.75">
      <c r="B19" s="4" t="s">
        <v>15</v>
      </c>
      <c r="C19" s="3">
        <v>1075</v>
      </c>
      <c r="D19" s="3">
        <v>797</v>
      </c>
      <c r="E19" s="3">
        <v>789</v>
      </c>
      <c r="F19" s="2">
        <v>1072</v>
      </c>
      <c r="G19" s="2">
        <v>944</v>
      </c>
      <c r="H19" s="2">
        <v>1154</v>
      </c>
      <c r="J19" s="69"/>
      <c r="K19" s="61"/>
      <c r="L19" s="61"/>
      <c r="M19" s="61"/>
      <c r="N19" s="60"/>
      <c r="O19" s="60"/>
      <c r="P19" s="68"/>
    </row>
    <row r="20" spans="2:16" ht="15.75">
      <c r="B20" s="4" t="s">
        <v>16</v>
      </c>
      <c r="C20" s="3">
        <v>1172</v>
      </c>
      <c r="D20" s="3">
        <v>800</v>
      </c>
      <c r="E20" s="3">
        <v>877</v>
      </c>
      <c r="F20" s="2">
        <v>1161</v>
      </c>
      <c r="G20" s="2">
        <v>891</v>
      </c>
      <c r="H20" s="21">
        <v>1035</v>
      </c>
      <c r="J20" s="69"/>
      <c r="K20" s="61"/>
      <c r="L20" s="61"/>
      <c r="M20" s="61"/>
      <c r="N20" s="60"/>
      <c r="O20" s="60"/>
      <c r="P20" s="58"/>
    </row>
    <row r="21" spans="2:16" ht="15.75">
      <c r="B21" s="4" t="s">
        <v>18</v>
      </c>
      <c r="C21" s="3">
        <v>1306</v>
      </c>
      <c r="D21" s="3">
        <v>1028</v>
      </c>
      <c r="E21" s="3">
        <v>560</v>
      </c>
      <c r="F21" s="2">
        <v>1247</v>
      </c>
      <c r="G21" s="2">
        <v>897</v>
      </c>
      <c r="H21" s="2">
        <v>368</v>
      </c>
      <c r="J21" s="69"/>
      <c r="K21" s="61"/>
      <c r="L21" s="61"/>
      <c r="M21" s="61"/>
      <c r="N21" s="71"/>
      <c r="O21" s="60"/>
      <c r="P21" s="60"/>
    </row>
    <row r="22" spans="2:16" ht="15.75">
      <c r="B22" s="1" t="s">
        <v>19</v>
      </c>
      <c r="C22" s="6">
        <f t="shared" ref="C22:H22" si="0">SUM(C10:C21)</f>
        <v>14485</v>
      </c>
      <c r="D22" s="6">
        <f t="shared" si="0"/>
        <v>10359</v>
      </c>
      <c r="E22" s="6">
        <f t="shared" si="0"/>
        <v>11251</v>
      </c>
      <c r="F22" s="6">
        <f t="shared" si="0"/>
        <v>11160</v>
      </c>
      <c r="G22" s="6">
        <f t="shared" si="0"/>
        <v>12713</v>
      </c>
      <c r="H22" s="6">
        <f t="shared" si="0"/>
        <v>11592</v>
      </c>
      <c r="J22" s="57"/>
      <c r="K22" s="64"/>
      <c r="L22" s="64"/>
      <c r="M22" s="64"/>
      <c r="N22" s="64"/>
      <c r="O22" s="65"/>
      <c r="P22" s="64"/>
    </row>
    <row r="25" spans="2:16" ht="15.75">
      <c r="B25" s="14" t="s">
        <v>1</v>
      </c>
    </row>
    <row r="26" spans="2:16" ht="15.75">
      <c r="B26" s="14" t="s">
        <v>2</v>
      </c>
      <c r="C26" s="15"/>
    </row>
    <row r="27" spans="2:16" ht="15.75">
      <c r="B27" s="14"/>
      <c r="C27" s="15"/>
    </row>
    <row r="28" spans="2:16">
      <c r="B28" s="36" t="s">
        <v>4</v>
      </c>
      <c r="C28" s="37"/>
      <c r="D28" s="37"/>
      <c r="E28" s="37"/>
      <c r="F28" s="37"/>
      <c r="G28" s="37"/>
      <c r="H28" s="38"/>
    </row>
    <row r="29" spans="2:16">
      <c r="B29" s="39"/>
      <c r="C29" s="40"/>
      <c r="D29" s="40"/>
      <c r="E29" s="40"/>
      <c r="F29" s="40"/>
      <c r="G29" s="40"/>
      <c r="H29" s="41"/>
    </row>
    <row r="30" spans="2:16">
      <c r="B30" s="42" t="s">
        <v>5</v>
      </c>
      <c r="C30" s="34">
        <v>2019</v>
      </c>
      <c r="D30" s="34">
        <v>2020</v>
      </c>
      <c r="E30" s="34">
        <v>2021</v>
      </c>
      <c r="F30" s="44">
        <v>2022</v>
      </c>
      <c r="G30" s="34">
        <v>2023</v>
      </c>
      <c r="H30" s="34">
        <v>2024</v>
      </c>
    </row>
    <row r="31" spans="2:16">
      <c r="B31" s="43"/>
      <c r="C31" s="35"/>
      <c r="D31" s="35"/>
      <c r="E31" s="35"/>
      <c r="F31" s="45"/>
      <c r="G31" s="35"/>
      <c r="H31" s="35"/>
    </row>
    <row r="32" spans="2:16" ht="15.75">
      <c r="B32" s="1" t="s">
        <v>6</v>
      </c>
      <c r="C32" s="8">
        <v>43179.05</v>
      </c>
      <c r="D32" s="8">
        <v>56138.35</v>
      </c>
      <c r="E32" s="8">
        <v>35384.21</v>
      </c>
      <c r="F32" s="8">
        <v>24413.71</v>
      </c>
      <c r="G32" s="18">
        <v>53149.99</v>
      </c>
      <c r="H32" s="3">
        <v>34489.43</v>
      </c>
    </row>
    <row r="33" spans="2:8" ht="15.75">
      <c r="B33" s="1" t="s">
        <v>7</v>
      </c>
      <c r="C33" s="8">
        <v>56491.21</v>
      </c>
      <c r="D33" s="8">
        <v>40195.839999999997</v>
      </c>
      <c r="E33" s="8">
        <v>36859.78</v>
      </c>
      <c r="F33" s="8">
        <v>29578.18</v>
      </c>
      <c r="G33" s="18">
        <v>54083.96</v>
      </c>
      <c r="H33" s="3">
        <v>35163.129999999997</v>
      </c>
    </row>
    <row r="34" spans="2:8" ht="15.75">
      <c r="B34" s="1" t="s">
        <v>8</v>
      </c>
      <c r="C34" s="8">
        <v>60917.91</v>
      </c>
      <c r="D34" s="8">
        <v>22072.05</v>
      </c>
      <c r="E34" s="8">
        <v>42409.18</v>
      </c>
      <c r="F34" s="8">
        <v>33138.79</v>
      </c>
      <c r="G34" s="18">
        <v>44164.19</v>
      </c>
      <c r="H34" s="22">
        <v>33751.56</v>
      </c>
    </row>
    <row r="35" spans="2:8" ht="15.75">
      <c r="B35" s="1" t="s">
        <v>9</v>
      </c>
      <c r="C35" s="8">
        <v>55849.66</v>
      </c>
      <c r="D35" s="8">
        <v>198685.28</v>
      </c>
      <c r="E35" s="8">
        <v>22072.05</v>
      </c>
      <c r="F35" s="8">
        <v>39939.22</v>
      </c>
      <c r="G35" s="18">
        <v>38944.82</v>
      </c>
      <c r="H35" s="8">
        <v>39980.800000000003</v>
      </c>
    </row>
    <row r="36" spans="2:8" ht="15.75">
      <c r="B36" s="1" t="s">
        <v>10</v>
      </c>
      <c r="C36" s="8">
        <v>36699.39</v>
      </c>
      <c r="D36" s="8">
        <v>272242.59000000003</v>
      </c>
      <c r="E36" s="8">
        <v>28744.17</v>
      </c>
      <c r="F36" s="8">
        <v>33416.959999999999</v>
      </c>
      <c r="G36" s="18">
        <v>52417.37</v>
      </c>
      <c r="H36" s="5">
        <v>32921.879999999997</v>
      </c>
    </row>
    <row r="37" spans="2:8" ht="15.75">
      <c r="B37" s="1" t="s">
        <v>11</v>
      </c>
      <c r="C37" s="8">
        <v>26177.97</v>
      </c>
      <c r="D37" s="8">
        <v>29064.95</v>
      </c>
      <c r="E37" s="8">
        <v>37579.519999999997</v>
      </c>
      <c r="F37" s="8">
        <v>34186.839999999997</v>
      </c>
      <c r="G37" s="18">
        <v>34232.769999999997</v>
      </c>
      <c r="H37" s="5">
        <v>29298.62</v>
      </c>
    </row>
    <row r="38" spans="2:8" ht="15.75">
      <c r="B38" s="4" t="s">
        <v>12</v>
      </c>
      <c r="C38" s="8">
        <v>30668.82</v>
      </c>
      <c r="D38" s="8">
        <v>22168.28</v>
      </c>
      <c r="E38" s="8">
        <v>31951.919999999998</v>
      </c>
      <c r="F38" s="18">
        <v>33609.43</v>
      </c>
      <c r="G38" s="18">
        <v>31120.89</v>
      </c>
      <c r="H38" s="5">
        <v>31762.52</v>
      </c>
    </row>
    <row r="39" spans="2:8" ht="15.75">
      <c r="B39" s="4" t="s">
        <v>13</v>
      </c>
      <c r="C39" s="8">
        <v>36506.92</v>
      </c>
      <c r="D39" s="8">
        <v>32336.85</v>
      </c>
      <c r="E39" s="8">
        <v>34935.129999999997</v>
      </c>
      <c r="F39" s="18">
        <v>42000.22</v>
      </c>
      <c r="G39" s="18">
        <v>31473.79</v>
      </c>
      <c r="H39" s="8">
        <v>32521.13</v>
      </c>
    </row>
    <row r="40" spans="2:8" ht="15.75">
      <c r="B40" s="4" t="s">
        <v>14</v>
      </c>
      <c r="C40" s="8">
        <v>40516.61</v>
      </c>
      <c r="D40" s="8">
        <v>29385.72</v>
      </c>
      <c r="E40" s="8">
        <v>34453.97</v>
      </c>
      <c r="F40" s="18">
        <v>40845.440000000002</v>
      </c>
      <c r="G40" s="18">
        <v>38307.089999999997</v>
      </c>
      <c r="H40" s="25">
        <v>49832.17</v>
      </c>
    </row>
    <row r="41" spans="2:8" ht="15.75">
      <c r="B41" s="4" t="s">
        <v>15</v>
      </c>
      <c r="C41" s="8">
        <v>38271.19</v>
      </c>
      <c r="D41" s="8">
        <v>29353.64</v>
      </c>
      <c r="E41" s="8">
        <v>29097.02</v>
      </c>
      <c r="F41" s="18">
        <v>45811.01</v>
      </c>
      <c r="G41" s="18">
        <v>34072.370000000003</v>
      </c>
      <c r="H41" s="5">
        <v>38768.959999999999</v>
      </c>
    </row>
    <row r="42" spans="2:8" ht="15.75">
      <c r="B42" s="4" t="s">
        <v>16</v>
      </c>
      <c r="C42" s="8">
        <v>41382.699999999997</v>
      </c>
      <c r="D42" s="8">
        <v>29449.87</v>
      </c>
      <c r="E42" s="8" t="s">
        <v>17</v>
      </c>
      <c r="F42" s="18">
        <v>49236.87</v>
      </c>
      <c r="G42" s="18">
        <v>32372.06</v>
      </c>
      <c r="H42" s="22">
        <v>35142.18</v>
      </c>
    </row>
    <row r="43" spans="2:8" ht="15.75">
      <c r="B43" s="4" t="s">
        <v>18</v>
      </c>
      <c r="C43" s="8">
        <v>45681.09</v>
      </c>
      <c r="D43" s="8">
        <v>36763.550000000003</v>
      </c>
      <c r="E43" s="8">
        <v>21751.27</v>
      </c>
      <c r="F43" s="20">
        <v>52162.32</v>
      </c>
      <c r="G43" s="18">
        <v>32564.55</v>
      </c>
      <c r="H43" s="18">
        <v>42082.93</v>
      </c>
    </row>
    <row r="44" spans="2:8" ht="15.75">
      <c r="B44" s="1" t="s">
        <v>19</v>
      </c>
      <c r="C44" s="12">
        <f t="shared" ref="C44" si="1">SUM(C32:C43)</f>
        <v>512342.52</v>
      </c>
      <c r="D44" s="12">
        <f t="shared" ref="D44" si="2">SUM(D32:D43)</f>
        <v>797856.97000000009</v>
      </c>
      <c r="E44" s="12">
        <f t="shared" ref="E44" si="3">SUM(E32:E43)</f>
        <v>355238.22</v>
      </c>
      <c r="F44" s="12">
        <f t="shared" ref="F44" si="4">SUM(F32:F43)</f>
        <v>458338.99</v>
      </c>
      <c r="G44" s="19">
        <f t="shared" ref="G44" si="5">SUM(G32:G43)</f>
        <v>476903.85</v>
      </c>
      <c r="H44" s="12">
        <f t="shared" ref="H44" si="6">SUM(H32:H43)</f>
        <v>435715.30999999994</v>
      </c>
    </row>
  </sheetData>
  <mergeCells count="25">
    <mergeCell ref="P8:P9"/>
    <mergeCell ref="B6:H7"/>
    <mergeCell ref="J6:P7"/>
    <mergeCell ref="B8:B9"/>
    <mergeCell ref="C8:C9"/>
    <mergeCell ref="D8:D9"/>
    <mergeCell ref="E8:E9"/>
    <mergeCell ref="F8:F9"/>
    <mergeCell ref="G8:G9"/>
    <mergeCell ref="J8:J9"/>
    <mergeCell ref="K8:K9"/>
    <mergeCell ref="L8:L9"/>
    <mergeCell ref="M8:M9"/>
    <mergeCell ref="N8:N9"/>
    <mergeCell ref="O8:O9"/>
    <mergeCell ref="A1:I1"/>
    <mergeCell ref="H8:H9"/>
    <mergeCell ref="B28:H29"/>
    <mergeCell ref="B30:B31"/>
    <mergeCell ref="C30:C31"/>
    <mergeCell ref="D30:D31"/>
    <mergeCell ref="E30:E31"/>
    <mergeCell ref="F30:F31"/>
    <mergeCell ref="G30:G31"/>
    <mergeCell ref="H30:H31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44"/>
  <sheetViews>
    <sheetView workbookViewId="0">
      <selection activeCell="T23" sqref="T23"/>
    </sheetView>
  </sheetViews>
  <sheetFormatPr defaultColWidth="9" defaultRowHeight="15"/>
  <cols>
    <col min="1" max="1" width="7.140625" customWidth="1"/>
    <col min="2" max="2" width="12" customWidth="1"/>
    <col min="3" max="3" width="10" customWidth="1"/>
    <col min="4" max="5" width="9.85546875" customWidth="1"/>
    <col min="6" max="7" width="10.5703125" customWidth="1"/>
    <col min="8" max="8" width="10.28515625" customWidth="1"/>
    <col min="10" max="10" width="12" customWidth="1"/>
    <col min="11" max="14" width="10.140625" customWidth="1"/>
    <col min="15" max="15" width="10.5703125"/>
    <col min="16" max="16" width="10.140625" customWidth="1"/>
  </cols>
  <sheetData>
    <row r="2" spans="1:21">
      <c r="A2" s="33" t="s">
        <v>0</v>
      </c>
      <c r="B2" s="33"/>
      <c r="C2" s="33"/>
      <c r="D2" s="33"/>
      <c r="E2" s="33"/>
      <c r="F2" s="33"/>
      <c r="G2" s="33"/>
      <c r="H2" s="33"/>
    </row>
    <row r="4" spans="1:21" ht="15.75">
      <c r="B4" s="14" t="s">
        <v>1</v>
      </c>
      <c r="J4" s="14"/>
    </row>
    <row r="5" spans="1:21" ht="15.75">
      <c r="B5" s="14" t="s">
        <v>20</v>
      </c>
      <c r="C5" s="15"/>
      <c r="J5" s="14"/>
      <c r="K5" s="15"/>
    </row>
    <row r="6" spans="1:21" ht="15.75">
      <c r="B6" s="14"/>
      <c r="C6" s="15"/>
      <c r="J6" s="14"/>
      <c r="K6" s="15"/>
    </row>
    <row r="7" spans="1:21">
      <c r="B7" s="36" t="s">
        <v>3</v>
      </c>
      <c r="C7" s="37"/>
      <c r="D7" s="37"/>
      <c r="E7" s="37"/>
      <c r="F7" s="37"/>
      <c r="G7" s="37"/>
      <c r="H7" s="38"/>
      <c r="J7" s="54"/>
      <c r="K7" s="54"/>
      <c r="L7" s="54"/>
      <c r="M7" s="54"/>
      <c r="N7" s="54"/>
      <c r="O7" s="54"/>
      <c r="P7" s="54"/>
    </row>
    <row r="8" spans="1:21">
      <c r="B8" s="39"/>
      <c r="C8" s="40"/>
      <c r="D8" s="40"/>
      <c r="E8" s="40"/>
      <c r="F8" s="40"/>
      <c r="G8" s="40"/>
      <c r="H8" s="41"/>
      <c r="J8" s="54"/>
      <c r="K8" s="54"/>
      <c r="L8" s="54"/>
      <c r="M8" s="54"/>
      <c r="N8" s="54"/>
      <c r="O8" s="54"/>
      <c r="P8" s="54"/>
    </row>
    <row r="9" spans="1:21">
      <c r="B9" s="42" t="s">
        <v>5</v>
      </c>
      <c r="C9" s="34">
        <v>2019</v>
      </c>
      <c r="D9" s="34">
        <v>2020</v>
      </c>
      <c r="E9" s="34">
        <v>2021</v>
      </c>
      <c r="F9" s="44">
        <v>2022</v>
      </c>
      <c r="G9" s="34">
        <v>2023</v>
      </c>
      <c r="H9" s="34">
        <v>2024</v>
      </c>
      <c r="J9" s="55"/>
      <c r="K9" s="54"/>
      <c r="L9" s="54"/>
      <c r="M9" s="54"/>
      <c r="N9" s="56"/>
      <c r="O9" s="54" t="s">
        <v>25</v>
      </c>
      <c r="P9" s="54"/>
      <c r="Q9" s="46"/>
      <c r="R9" s="46"/>
      <c r="S9" s="46"/>
      <c r="T9" s="47"/>
      <c r="U9" s="46"/>
    </row>
    <row r="10" spans="1:21">
      <c r="B10" s="43"/>
      <c r="C10" s="35"/>
      <c r="D10" s="35"/>
      <c r="E10" s="35"/>
      <c r="F10" s="45"/>
      <c r="G10" s="35"/>
      <c r="H10" s="35"/>
      <c r="J10" s="55"/>
      <c r="K10" s="54"/>
      <c r="L10" s="54"/>
      <c r="M10" s="54"/>
      <c r="N10" s="56"/>
      <c r="O10" s="54"/>
      <c r="P10" s="54"/>
      <c r="Q10" s="46"/>
      <c r="R10" s="46"/>
      <c r="S10" s="46"/>
      <c r="T10" s="47"/>
      <c r="U10" s="46"/>
    </row>
    <row r="11" spans="1:21" ht="15.75">
      <c r="B11" s="1" t="s">
        <v>6</v>
      </c>
      <c r="C11" s="21">
        <v>1229</v>
      </c>
      <c r="D11" s="21">
        <v>838</v>
      </c>
      <c r="E11" s="21">
        <v>985</v>
      </c>
      <c r="F11" s="3">
        <v>835</v>
      </c>
      <c r="G11" s="3">
        <v>1080</v>
      </c>
      <c r="H11" s="3">
        <v>803</v>
      </c>
      <c r="J11" s="57"/>
      <c r="K11" s="58"/>
      <c r="L11" s="58"/>
      <c r="M11" s="58"/>
      <c r="N11" s="58"/>
      <c r="O11" s="59"/>
      <c r="P11" s="60"/>
      <c r="Q11" s="10"/>
      <c r="R11" s="10"/>
      <c r="S11" s="10"/>
      <c r="U11" s="10"/>
    </row>
    <row r="12" spans="1:21" ht="15.75">
      <c r="B12" s="1" t="s">
        <v>7</v>
      </c>
      <c r="C12" s="21">
        <v>1038</v>
      </c>
      <c r="D12" s="21">
        <v>1068</v>
      </c>
      <c r="E12" s="21">
        <v>978</v>
      </c>
      <c r="F12" s="3">
        <v>925</v>
      </c>
      <c r="G12" s="3">
        <v>837</v>
      </c>
      <c r="H12" s="3">
        <v>851</v>
      </c>
      <c r="J12" s="57"/>
      <c r="K12" s="58"/>
      <c r="L12" s="58"/>
      <c r="M12" s="58"/>
      <c r="N12" s="58"/>
      <c r="O12" s="60"/>
      <c r="P12" s="60"/>
    </row>
    <row r="13" spans="1:21" ht="15.75">
      <c r="B13" s="1" t="s">
        <v>8</v>
      </c>
      <c r="C13" s="21">
        <v>911</v>
      </c>
      <c r="D13" s="21">
        <v>820</v>
      </c>
      <c r="E13" s="21">
        <v>1090</v>
      </c>
      <c r="F13" s="3">
        <v>890</v>
      </c>
      <c r="G13" s="3" t="s">
        <v>21</v>
      </c>
      <c r="H13" s="3">
        <v>861</v>
      </c>
      <c r="J13" s="57"/>
      <c r="K13" s="58"/>
      <c r="L13" s="58"/>
      <c r="M13" s="58"/>
      <c r="N13" s="58"/>
      <c r="O13" s="60"/>
      <c r="P13" s="60"/>
    </row>
    <row r="14" spans="1:21" ht="15.75">
      <c r="B14" s="1" t="s">
        <v>9</v>
      </c>
      <c r="C14" s="3">
        <v>971</v>
      </c>
      <c r="D14" s="3">
        <v>819</v>
      </c>
      <c r="E14" s="3">
        <v>921</v>
      </c>
      <c r="F14" s="3">
        <v>809</v>
      </c>
      <c r="G14" s="3">
        <v>1100</v>
      </c>
      <c r="H14" s="3">
        <v>892</v>
      </c>
      <c r="J14" s="57"/>
      <c r="K14" s="58"/>
      <c r="L14" s="58"/>
      <c r="M14" s="58"/>
      <c r="N14" s="58"/>
      <c r="O14" s="60"/>
      <c r="P14" s="60"/>
    </row>
    <row r="15" spans="1:21" ht="15.75">
      <c r="B15" s="1" t="s">
        <v>10</v>
      </c>
      <c r="C15" s="3">
        <v>889</v>
      </c>
      <c r="D15" s="3">
        <v>697</v>
      </c>
      <c r="E15" s="3">
        <v>912</v>
      </c>
      <c r="F15" s="3">
        <v>809</v>
      </c>
      <c r="G15" s="21">
        <v>1234</v>
      </c>
      <c r="H15" s="21">
        <v>1094</v>
      </c>
      <c r="J15" s="57"/>
      <c r="K15" s="61"/>
      <c r="L15" s="61"/>
      <c r="M15" s="61"/>
      <c r="N15" s="61"/>
      <c r="O15" s="60"/>
      <c r="P15" s="60"/>
    </row>
    <row r="16" spans="1:21" ht="15.75">
      <c r="B16" s="1" t="s">
        <v>11</v>
      </c>
      <c r="C16" s="3">
        <v>839</v>
      </c>
      <c r="D16" s="3">
        <v>824</v>
      </c>
      <c r="E16" s="3">
        <v>702</v>
      </c>
      <c r="F16" s="3">
        <v>729</v>
      </c>
      <c r="G16" s="3">
        <v>757</v>
      </c>
      <c r="H16" s="3">
        <v>992</v>
      </c>
      <c r="J16" s="57"/>
      <c r="K16" s="61"/>
      <c r="L16" s="61"/>
      <c r="M16" s="61"/>
      <c r="N16" s="61"/>
      <c r="O16" s="60"/>
      <c r="P16" s="60"/>
    </row>
    <row r="17" spans="2:16" ht="15.75">
      <c r="B17" s="1" t="s">
        <v>12</v>
      </c>
      <c r="C17" s="3">
        <v>1077</v>
      </c>
      <c r="D17" s="3">
        <v>857</v>
      </c>
      <c r="E17" s="3">
        <v>786</v>
      </c>
      <c r="F17" s="16">
        <v>883</v>
      </c>
      <c r="G17" s="16">
        <v>796</v>
      </c>
      <c r="H17" s="16">
        <v>999</v>
      </c>
      <c r="J17" s="57"/>
      <c r="K17" s="61"/>
      <c r="L17" s="61"/>
      <c r="M17" s="61"/>
      <c r="N17" s="62"/>
      <c r="O17" s="60"/>
      <c r="P17" s="60"/>
    </row>
    <row r="18" spans="2:16" ht="15.75">
      <c r="B18" s="1" t="s">
        <v>13</v>
      </c>
      <c r="C18" s="3">
        <v>1128</v>
      </c>
      <c r="D18" s="3">
        <v>892</v>
      </c>
      <c r="E18" s="3">
        <v>884</v>
      </c>
      <c r="F18" s="2">
        <v>1262</v>
      </c>
      <c r="G18" s="2">
        <v>930</v>
      </c>
      <c r="H18" s="2">
        <v>999</v>
      </c>
      <c r="J18" s="57"/>
      <c r="K18" s="61"/>
      <c r="L18" s="61"/>
      <c r="M18" s="61"/>
      <c r="N18" s="62"/>
      <c r="O18" s="60"/>
      <c r="P18" s="60"/>
    </row>
    <row r="19" spans="2:16" ht="15.75">
      <c r="B19" s="1" t="s">
        <v>14</v>
      </c>
      <c r="C19" s="3">
        <v>1045</v>
      </c>
      <c r="D19" s="3">
        <v>870</v>
      </c>
      <c r="E19" s="3">
        <v>649</v>
      </c>
      <c r="F19" s="2">
        <v>1313</v>
      </c>
      <c r="G19" s="2">
        <v>812</v>
      </c>
      <c r="H19" s="2">
        <v>1181</v>
      </c>
      <c r="J19" s="57"/>
      <c r="K19" s="61"/>
      <c r="L19" s="61"/>
      <c r="M19" s="61"/>
      <c r="N19" s="62"/>
      <c r="O19" s="60"/>
      <c r="P19" s="60"/>
    </row>
    <row r="20" spans="2:16" ht="15.75">
      <c r="B20" s="1" t="s">
        <v>15</v>
      </c>
      <c r="C20" s="3">
        <v>923</v>
      </c>
      <c r="D20" s="3">
        <v>856</v>
      </c>
      <c r="E20" s="3">
        <v>738</v>
      </c>
      <c r="F20" s="21">
        <v>1350</v>
      </c>
      <c r="G20" s="3">
        <v>798</v>
      </c>
      <c r="H20" s="3">
        <v>1003</v>
      </c>
      <c r="J20" s="57"/>
      <c r="K20" s="61"/>
      <c r="L20" s="61"/>
      <c r="M20" s="61"/>
      <c r="N20" s="59"/>
      <c r="O20" s="60"/>
      <c r="P20" s="60"/>
    </row>
    <row r="21" spans="2:16" ht="15.75">
      <c r="B21" s="1" t="s">
        <v>16</v>
      </c>
      <c r="C21" s="3">
        <v>844</v>
      </c>
      <c r="D21" s="3">
        <v>780</v>
      </c>
      <c r="E21" s="3">
        <v>939</v>
      </c>
      <c r="F21" s="2">
        <v>1166</v>
      </c>
      <c r="G21" s="2">
        <v>616</v>
      </c>
      <c r="H21" s="23">
        <v>1295</v>
      </c>
      <c r="J21" s="57"/>
      <c r="K21" s="61"/>
      <c r="L21" s="61"/>
      <c r="M21" s="61"/>
      <c r="N21" s="62"/>
      <c r="O21" s="60"/>
      <c r="P21" s="63"/>
    </row>
    <row r="22" spans="2:16" ht="15.75">
      <c r="B22" s="1" t="s">
        <v>18</v>
      </c>
      <c r="C22" s="3">
        <v>744</v>
      </c>
      <c r="D22" s="3">
        <v>983</v>
      </c>
      <c r="E22" s="3">
        <v>731</v>
      </c>
      <c r="F22" s="2">
        <v>1057</v>
      </c>
      <c r="G22" s="2">
        <v>700</v>
      </c>
      <c r="H22" s="2">
        <v>1245</v>
      </c>
      <c r="J22" s="57"/>
      <c r="K22" s="61"/>
      <c r="L22" s="61"/>
      <c r="M22" s="61"/>
      <c r="N22" s="62"/>
      <c r="O22" s="60"/>
      <c r="P22" s="60"/>
    </row>
    <row r="23" spans="2:16" ht="15.75">
      <c r="B23" s="1" t="s">
        <v>19</v>
      </c>
      <c r="C23" s="6">
        <f t="shared" ref="C23:H23" si="0">SUM(C11:C22)</f>
        <v>11638</v>
      </c>
      <c r="D23" s="6">
        <f t="shared" si="0"/>
        <v>10304</v>
      </c>
      <c r="E23" s="6">
        <f t="shared" si="0"/>
        <v>10315</v>
      </c>
      <c r="F23" s="6">
        <f t="shared" si="0"/>
        <v>12028</v>
      </c>
      <c r="G23" s="6">
        <f t="shared" si="0"/>
        <v>9660</v>
      </c>
      <c r="H23" s="6">
        <f t="shared" si="0"/>
        <v>12215</v>
      </c>
      <c r="J23" s="57"/>
      <c r="K23" s="64"/>
      <c r="L23" s="64"/>
      <c r="M23" s="64"/>
      <c r="N23" s="64"/>
      <c r="O23" s="65"/>
      <c r="P23" s="60"/>
    </row>
    <row r="24" spans="2:16">
      <c r="J24" s="66"/>
      <c r="K24" s="66"/>
      <c r="L24" s="66"/>
      <c r="M24" s="66"/>
      <c r="N24" s="66"/>
      <c r="O24" s="66"/>
      <c r="P24" s="66"/>
    </row>
    <row r="25" spans="2:16" ht="15.75">
      <c r="B25" s="14" t="s">
        <v>1</v>
      </c>
    </row>
    <row r="26" spans="2:16" ht="15.75">
      <c r="B26" s="14" t="s">
        <v>20</v>
      </c>
      <c r="C26" s="15"/>
    </row>
    <row r="27" spans="2:16" ht="15.75">
      <c r="B27" s="14"/>
      <c r="C27" s="15"/>
    </row>
    <row r="28" spans="2:16">
      <c r="B28" s="36" t="s">
        <v>4</v>
      </c>
      <c r="C28" s="37"/>
      <c r="D28" s="37"/>
      <c r="E28" s="37"/>
      <c r="F28" s="37"/>
      <c r="G28" s="37"/>
      <c r="H28" s="38"/>
    </row>
    <row r="29" spans="2:16">
      <c r="B29" s="39"/>
      <c r="C29" s="40"/>
      <c r="D29" s="40"/>
      <c r="E29" s="40"/>
      <c r="F29" s="40"/>
      <c r="G29" s="40"/>
      <c r="H29" s="41"/>
    </row>
    <row r="30" spans="2:16">
      <c r="B30" s="42" t="s">
        <v>5</v>
      </c>
      <c r="C30" s="34">
        <v>2019</v>
      </c>
      <c r="D30" s="34">
        <v>2020</v>
      </c>
      <c r="E30" s="34">
        <v>2021</v>
      </c>
      <c r="F30" s="44">
        <v>2022</v>
      </c>
      <c r="G30" s="34">
        <v>2023</v>
      </c>
      <c r="H30" s="34">
        <v>2024</v>
      </c>
    </row>
    <row r="31" spans="2:16">
      <c r="B31" s="43"/>
      <c r="C31" s="35"/>
      <c r="D31" s="35"/>
      <c r="E31" s="35"/>
      <c r="F31" s="45"/>
      <c r="G31" s="35"/>
      <c r="H31" s="35"/>
    </row>
    <row r="32" spans="2:16" ht="15.75">
      <c r="B32" s="1" t="s">
        <v>6</v>
      </c>
      <c r="C32" s="22">
        <v>43211.12</v>
      </c>
      <c r="D32" s="22">
        <v>30668.82</v>
      </c>
      <c r="E32" s="22">
        <v>31791.53</v>
      </c>
      <c r="F32" s="22">
        <v>30572.59</v>
      </c>
      <c r="G32" s="26">
        <v>47155.38</v>
      </c>
      <c r="H32" s="18">
        <v>29548.91</v>
      </c>
    </row>
    <row r="33" spans="2:8" ht="15.75">
      <c r="B33" s="1" t="s">
        <v>7</v>
      </c>
      <c r="C33" s="22">
        <v>37084.32</v>
      </c>
      <c r="D33" s="22">
        <v>38046.639999999999</v>
      </c>
      <c r="E33" s="22">
        <v>35159.67</v>
      </c>
      <c r="F33" s="22">
        <v>33459.56</v>
      </c>
      <c r="G33" s="18">
        <v>36765.199999999997</v>
      </c>
      <c r="H33" s="18">
        <v>31088.81</v>
      </c>
    </row>
    <row r="34" spans="2:8" ht="15.75">
      <c r="B34" s="1" t="s">
        <v>8</v>
      </c>
      <c r="C34" s="22">
        <v>33010.480000000003</v>
      </c>
      <c r="D34" s="22">
        <v>30091.42</v>
      </c>
      <c r="E34" s="22">
        <v>38752.35</v>
      </c>
      <c r="F34" s="22">
        <v>32336.85</v>
      </c>
      <c r="G34" s="18">
        <v>39371.82</v>
      </c>
      <c r="H34" s="18">
        <v>31409.63</v>
      </c>
    </row>
    <row r="35" spans="2:8" ht="15.75">
      <c r="B35" s="1" t="s">
        <v>9</v>
      </c>
      <c r="C35" s="22">
        <v>34935.129999999997</v>
      </c>
      <c r="D35" s="22">
        <v>30059.34</v>
      </c>
      <c r="E35" s="22">
        <v>33331.26</v>
      </c>
      <c r="F35" s="22">
        <v>29738.57</v>
      </c>
      <c r="G35" s="18">
        <v>39073.129999999997</v>
      </c>
      <c r="H35" s="18">
        <v>32407.14</v>
      </c>
    </row>
    <row r="36" spans="2:8" ht="15.75">
      <c r="B36" s="1" t="s">
        <v>10</v>
      </c>
      <c r="C36" s="8">
        <v>32304.77</v>
      </c>
      <c r="D36" s="8">
        <v>26145.89</v>
      </c>
      <c r="E36" s="8">
        <v>29502.28</v>
      </c>
      <c r="F36" s="8">
        <v>35688.089999999997</v>
      </c>
      <c r="G36" s="18">
        <v>43371.51</v>
      </c>
      <c r="H36" s="18">
        <v>38884.559999999998</v>
      </c>
    </row>
    <row r="37" spans="2:8" ht="15.75">
      <c r="B37" s="1" t="s">
        <v>11</v>
      </c>
      <c r="C37" s="8">
        <v>30700.89</v>
      </c>
      <c r="D37" s="8">
        <v>30219.73</v>
      </c>
      <c r="E37" s="8">
        <v>29846.55</v>
      </c>
      <c r="F37" s="8">
        <v>32608.59</v>
      </c>
      <c r="G37" s="18">
        <v>28073.17</v>
      </c>
      <c r="H37" s="18">
        <v>36728.76</v>
      </c>
    </row>
    <row r="38" spans="2:8" ht="15.75">
      <c r="B38" s="1" t="s">
        <v>12</v>
      </c>
      <c r="C38" s="8">
        <v>38335.339999999997</v>
      </c>
      <c r="D38" s="8">
        <v>31278.29</v>
      </c>
      <c r="E38" s="8">
        <v>29000.79</v>
      </c>
      <c r="F38" s="17">
        <v>38536.629999999997</v>
      </c>
      <c r="G38" s="18">
        <v>29324.34</v>
      </c>
      <c r="H38" s="18">
        <v>35836.839999999997</v>
      </c>
    </row>
    <row r="39" spans="2:8" ht="15.75">
      <c r="B39" s="1" t="s">
        <v>13</v>
      </c>
      <c r="C39" s="8">
        <v>39971.300000000003</v>
      </c>
      <c r="D39" s="8">
        <v>32401</v>
      </c>
      <c r="E39" s="8">
        <v>32144.38</v>
      </c>
      <c r="F39" s="17">
        <v>53124.65</v>
      </c>
      <c r="G39" s="18">
        <v>33623.230000000003</v>
      </c>
      <c r="H39" s="18">
        <v>34044.99</v>
      </c>
    </row>
    <row r="40" spans="2:8" ht="15.75">
      <c r="B40" s="1" t="s">
        <v>14</v>
      </c>
      <c r="C40" s="8">
        <v>37308.86</v>
      </c>
      <c r="D40" s="8">
        <v>31695.3</v>
      </c>
      <c r="E40" s="8">
        <v>24606.17</v>
      </c>
      <c r="F40" s="17">
        <v>55087.78</v>
      </c>
      <c r="G40" s="18">
        <v>29837.64</v>
      </c>
      <c r="H40" s="18">
        <v>39591.839999999997</v>
      </c>
    </row>
    <row r="41" spans="2:8" ht="15.75">
      <c r="B41" s="1" t="s">
        <v>15</v>
      </c>
      <c r="C41" s="8">
        <v>33395.410000000003</v>
      </c>
      <c r="D41" s="8">
        <v>31246.22</v>
      </c>
      <c r="E41" s="8">
        <v>27461.07</v>
      </c>
      <c r="F41" s="26">
        <v>56512.01</v>
      </c>
      <c r="G41" s="18">
        <v>29388.51</v>
      </c>
      <c r="H41" s="18">
        <v>34166.910000000003</v>
      </c>
    </row>
    <row r="42" spans="2:8" ht="15.75">
      <c r="B42" s="1" t="s">
        <v>16</v>
      </c>
      <c r="C42" s="8">
        <v>30861.98</v>
      </c>
      <c r="D42" s="8">
        <v>29808.32</v>
      </c>
      <c r="E42" s="8">
        <v>33908.639999999999</v>
      </c>
      <c r="F42" s="17">
        <v>49429.33</v>
      </c>
      <c r="G42" s="18">
        <v>23549.72</v>
      </c>
      <c r="H42" s="24">
        <v>43066.25</v>
      </c>
    </row>
    <row r="43" spans="2:8" ht="15.75">
      <c r="B43" s="1" t="s">
        <v>18</v>
      </c>
      <c r="C43" s="8">
        <v>27653.53</v>
      </c>
      <c r="D43" s="8">
        <v>35320.06</v>
      </c>
      <c r="E43" s="8">
        <v>27236.53</v>
      </c>
      <c r="F43" s="17">
        <v>45233.62</v>
      </c>
      <c r="G43" s="18">
        <v>26244.54</v>
      </c>
      <c r="H43" s="18">
        <v>42393.94</v>
      </c>
    </row>
    <row r="44" spans="2:8" ht="15.75">
      <c r="B44" s="1" t="s">
        <v>19</v>
      </c>
      <c r="C44" s="12">
        <f t="shared" ref="C44" si="1">SUM(C32:C43)</f>
        <v>418773.13</v>
      </c>
      <c r="D44" s="12">
        <f t="shared" ref="D44" si="2">SUM(D32:D43)</f>
        <v>376981.03</v>
      </c>
      <c r="E44" s="12">
        <f t="shared" ref="E44" si="3">SUM(E32:E43)</f>
        <v>372741.22</v>
      </c>
      <c r="F44" s="12">
        <f t="shared" ref="F44" si="4">SUM(F32:F43)</f>
        <v>492328.27000000008</v>
      </c>
      <c r="G44" s="19">
        <f t="shared" ref="G44" si="5">SUM(G32:G43)</f>
        <v>405778.19</v>
      </c>
      <c r="H44" s="18">
        <f t="shared" ref="H44" si="6">SUM(H32:H43)</f>
        <v>429168.58</v>
      </c>
    </row>
  </sheetData>
  <mergeCells count="30">
    <mergeCell ref="A2:H2"/>
    <mergeCell ref="G9:G10"/>
    <mergeCell ref="J9:J10"/>
    <mergeCell ref="K9:K10"/>
    <mergeCell ref="L9:L10"/>
    <mergeCell ref="B7:H8"/>
    <mergeCell ref="J7:P8"/>
    <mergeCell ref="H9:H10"/>
    <mergeCell ref="B9:B10"/>
    <mergeCell ref="C9:C10"/>
    <mergeCell ref="D9:D10"/>
    <mergeCell ref="E9:E10"/>
    <mergeCell ref="F9:F10"/>
    <mergeCell ref="S9:S10"/>
    <mergeCell ref="T9:T10"/>
    <mergeCell ref="U9:U10"/>
    <mergeCell ref="M9:M10"/>
    <mergeCell ref="N9:N10"/>
    <mergeCell ref="O9:O10"/>
    <mergeCell ref="Q9:Q10"/>
    <mergeCell ref="R9:R10"/>
    <mergeCell ref="P9:P10"/>
    <mergeCell ref="B28:H29"/>
    <mergeCell ref="B30:B31"/>
    <mergeCell ref="C30:C31"/>
    <mergeCell ref="D30:D31"/>
    <mergeCell ref="E30:E31"/>
    <mergeCell ref="F30:F31"/>
    <mergeCell ref="G30:G31"/>
    <mergeCell ref="H30:H31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3"/>
  <sheetViews>
    <sheetView zoomScale="120" zoomScaleNormal="120" workbookViewId="0">
      <selection activeCell="H24" sqref="A24:I27"/>
    </sheetView>
  </sheetViews>
  <sheetFormatPr defaultColWidth="9" defaultRowHeight="15"/>
  <cols>
    <col min="1" max="1" width="10.140625" customWidth="1"/>
    <col min="2" max="2" width="13.5703125" customWidth="1"/>
    <col min="3" max="3" width="12.42578125" customWidth="1"/>
    <col min="4" max="4" width="12.28515625" customWidth="1"/>
    <col min="5" max="5" width="12.42578125" customWidth="1"/>
    <col min="6" max="6" width="10.42578125" customWidth="1"/>
    <col min="7" max="7" width="12" customWidth="1"/>
    <col min="8" max="8" width="13.5703125" customWidth="1"/>
    <col min="9" max="9" width="12.28515625" customWidth="1"/>
    <col min="11" max="11" width="12.42578125" customWidth="1"/>
    <col min="12" max="12" width="14" customWidth="1"/>
    <col min="13" max="13" width="12.7109375" customWidth="1"/>
    <col min="14" max="14" width="12.5703125" customWidth="1"/>
    <col min="15" max="15" width="12.85546875" customWidth="1"/>
    <col min="16" max="16" width="12.28515625" customWidth="1"/>
    <col min="17" max="17" width="12.7109375" customWidth="1"/>
    <col min="18" max="18" width="14.28515625" customWidth="1"/>
    <col min="19" max="19" width="12.28515625" customWidth="1"/>
  </cols>
  <sheetData>
    <row r="1" spans="1:26">
      <c r="A1" s="50" t="s">
        <v>0</v>
      </c>
      <c r="B1" s="51"/>
      <c r="C1" s="51"/>
      <c r="D1" s="51"/>
      <c r="E1" s="51"/>
      <c r="F1" s="51"/>
      <c r="G1" s="51"/>
      <c r="H1" s="51"/>
      <c r="I1" s="52"/>
      <c r="J1" s="10"/>
      <c r="K1" s="33" t="s">
        <v>0</v>
      </c>
      <c r="L1" s="33"/>
      <c r="M1" s="33"/>
      <c r="N1" s="33"/>
      <c r="O1" s="33"/>
      <c r="P1" s="33"/>
      <c r="Q1" s="33"/>
      <c r="R1" s="33"/>
      <c r="S1" s="33"/>
    </row>
    <row r="2" spans="1:26">
      <c r="A2" s="30"/>
      <c r="I2" s="31"/>
    </row>
    <row r="3" spans="1:26">
      <c r="A3" s="30"/>
      <c r="I3" s="32"/>
    </row>
    <row r="4" spans="1:26">
      <c r="A4" s="30"/>
      <c r="I4" s="32"/>
    </row>
    <row r="5" spans="1:26">
      <c r="A5" s="36" t="s">
        <v>22</v>
      </c>
      <c r="B5" s="37"/>
      <c r="C5" s="37"/>
      <c r="D5" s="37"/>
      <c r="E5" s="37"/>
      <c r="F5" s="37"/>
      <c r="G5" s="37"/>
      <c r="H5" s="37"/>
      <c r="I5" s="38"/>
      <c r="T5" s="46"/>
      <c r="U5" s="46"/>
      <c r="V5" s="46"/>
      <c r="W5" s="46"/>
      <c r="X5" s="46"/>
      <c r="Y5" s="47"/>
      <c r="Z5" s="46"/>
    </row>
    <row r="6" spans="1:26">
      <c r="A6" s="39"/>
      <c r="B6" s="40"/>
      <c r="C6" s="40"/>
      <c r="D6" s="40"/>
      <c r="E6" s="40"/>
      <c r="F6" s="40"/>
      <c r="G6" s="40"/>
      <c r="H6" s="40"/>
      <c r="I6" s="41"/>
      <c r="T6" s="46"/>
      <c r="U6" s="46"/>
      <c r="V6" s="46"/>
      <c r="W6" s="46"/>
      <c r="X6" s="46"/>
      <c r="Y6" s="47"/>
      <c r="Z6" s="46"/>
    </row>
    <row r="7" spans="1:26">
      <c r="A7" s="42" t="s">
        <v>5</v>
      </c>
      <c r="B7" s="34">
        <v>2017</v>
      </c>
      <c r="C7" s="34">
        <v>2018</v>
      </c>
      <c r="D7" s="34">
        <v>2019</v>
      </c>
      <c r="E7" s="34">
        <v>2020</v>
      </c>
      <c r="F7" s="48">
        <v>2021</v>
      </c>
      <c r="G7" s="48">
        <v>2022</v>
      </c>
      <c r="H7" s="48">
        <v>2023</v>
      </c>
      <c r="I7" s="53">
        <v>2024</v>
      </c>
      <c r="V7" s="10"/>
      <c r="W7" s="10"/>
      <c r="X7" s="10"/>
      <c r="Z7" s="10"/>
    </row>
    <row r="8" spans="1:26">
      <c r="A8" s="43"/>
      <c r="B8" s="35"/>
      <c r="C8" s="35"/>
      <c r="D8" s="35"/>
      <c r="E8" s="35"/>
      <c r="F8" s="49"/>
      <c r="G8" s="49"/>
      <c r="H8" s="49"/>
      <c r="I8" s="53"/>
    </row>
    <row r="9" spans="1:26" ht="15.75">
      <c r="A9" s="1" t="s">
        <v>6</v>
      </c>
      <c r="B9" s="21">
        <v>24174</v>
      </c>
      <c r="C9" s="21">
        <v>18830</v>
      </c>
      <c r="D9" s="21">
        <v>25074</v>
      </c>
      <c r="E9" s="21">
        <v>37002</v>
      </c>
      <c r="F9" s="21">
        <v>26124</v>
      </c>
      <c r="G9" s="21">
        <v>40782</v>
      </c>
      <c r="H9" s="21">
        <v>33138</v>
      </c>
      <c r="I9" s="21">
        <v>40950</v>
      </c>
    </row>
    <row r="10" spans="1:26" ht="15.75">
      <c r="A10" s="4" t="s">
        <v>7</v>
      </c>
      <c r="B10" s="22">
        <v>22588.799999999999</v>
      </c>
      <c r="C10" s="21">
        <v>32190</v>
      </c>
      <c r="D10" s="21">
        <v>33306</v>
      </c>
      <c r="E10" s="21">
        <v>41328</v>
      </c>
      <c r="F10" s="21">
        <v>28056</v>
      </c>
      <c r="G10" s="21">
        <v>36246</v>
      </c>
      <c r="H10" s="21">
        <v>47628</v>
      </c>
      <c r="I10" s="21">
        <v>58380</v>
      </c>
    </row>
    <row r="11" spans="1:26" ht="15.75">
      <c r="A11" s="4" t="s">
        <v>8</v>
      </c>
      <c r="B11" s="22">
        <v>29227.200000000001</v>
      </c>
      <c r="C11" s="21">
        <v>30996</v>
      </c>
      <c r="D11" s="21">
        <v>38682</v>
      </c>
      <c r="E11" s="21">
        <v>33096</v>
      </c>
      <c r="F11" s="21">
        <v>32130</v>
      </c>
      <c r="G11" s="21">
        <v>46116</v>
      </c>
      <c r="H11" s="21">
        <v>40656</v>
      </c>
      <c r="I11" s="21">
        <v>52080</v>
      </c>
    </row>
    <row r="12" spans="1:26" ht="15.75">
      <c r="A12" s="4" t="s">
        <v>9</v>
      </c>
      <c r="B12" s="22">
        <v>19294.900000000001</v>
      </c>
      <c r="C12" s="21">
        <v>25830</v>
      </c>
      <c r="D12" s="21">
        <v>38178</v>
      </c>
      <c r="E12" s="21">
        <v>10374</v>
      </c>
      <c r="F12" s="21">
        <v>31500</v>
      </c>
      <c r="G12" s="21">
        <v>54264</v>
      </c>
      <c r="H12" s="21">
        <v>52122</v>
      </c>
      <c r="I12" s="21">
        <v>61320</v>
      </c>
    </row>
    <row r="13" spans="1:26" ht="15.75">
      <c r="A13" s="4" t="s">
        <v>10</v>
      </c>
      <c r="B13" s="22">
        <v>21126.400000000001</v>
      </c>
      <c r="C13" s="21">
        <v>29568</v>
      </c>
      <c r="D13" s="21">
        <v>33600</v>
      </c>
      <c r="E13" s="21">
        <v>18900</v>
      </c>
      <c r="F13" s="21">
        <v>39690</v>
      </c>
      <c r="G13" s="21">
        <v>57330</v>
      </c>
      <c r="H13" s="21">
        <v>65730</v>
      </c>
      <c r="I13" s="21">
        <v>72366</v>
      </c>
    </row>
    <row r="14" spans="1:26" ht="15.75">
      <c r="A14" s="4" t="s">
        <v>11</v>
      </c>
      <c r="B14" s="22">
        <v>23465.5</v>
      </c>
      <c r="C14" s="21">
        <v>33894</v>
      </c>
      <c r="D14" s="21">
        <v>41496</v>
      </c>
      <c r="E14" s="21">
        <v>30912</v>
      </c>
      <c r="F14" s="21">
        <v>37338</v>
      </c>
      <c r="G14" s="21">
        <v>51534</v>
      </c>
      <c r="H14" s="21">
        <v>51912</v>
      </c>
      <c r="I14" s="21">
        <v>61320</v>
      </c>
    </row>
    <row r="15" spans="1:26" ht="15.75">
      <c r="A15" s="4" t="s">
        <v>12</v>
      </c>
      <c r="B15" s="22">
        <v>27013.3</v>
      </c>
      <c r="C15" s="21">
        <v>38724</v>
      </c>
      <c r="D15" s="21">
        <v>47040</v>
      </c>
      <c r="E15" s="21">
        <v>39228</v>
      </c>
      <c r="F15" s="21">
        <v>37212</v>
      </c>
      <c r="G15" s="21">
        <v>47586</v>
      </c>
      <c r="H15" s="21">
        <v>42168</v>
      </c>
      <c r="I15" s="21">
        <v>52542</v>
      </c>
    </row>
    <row r="16" spans="1:26" ht="15.75">
      <c r="A16" s="4" t="s">
        <v>13</v>
      </c>
      <c r="B16" s="22">
        <v>32233.7</v>
      </c>
      <c r="C16" s="21">
        <v>38010</v>
      </c>
      <c r="D16" s="21">
        <v>49728</v>
      </c>
      <c r="E16" s="21">
        <v>37128</v>
      </c>
      <c r="F16" s="21">
        <v>44226</v>
      </c>
      <c r="G16" s="21">
        <v>52752</v>
      </c>
      <c r="H16" s="22">
        <v>57330</v>
      </c>
      <c r="I16" s="21">
        <v>63924</v>
      </c>
    </row>
    <row r="17" spans="1:22" ht="15.75">
      <c r="A17" s="4" t="s">
        <v>14</v>
      </c>
      <c r="B17" s="22">
        <v>29568.1</v>
      </c>
      <c r="C17" s="21">
        <v>43512</v>
      </c>
      <c r="D17" s="21">
        <v>64008</v>
      </c>
      <c r="E17" s="21">
        <v>35910</v>
      </c>
      <c r="F17" s="21">
        <v>39438</v>
      </c>
      <c r="G17" s="21">
        <v>60354</v>
      </c>
      <c r="H17" s="22">
        <v>66906</v>
      </c>
      <c r="I17" s="23">
        <v>66108</v>
      </c>
    </row>
    <row r="18" spans="1:22" ht="15.75">
      <c r="A18" s="4" t="s">
        <v>15</v>
      </c>
      <c r="B18" s="22">
        <v>27053.8</v>
      </c>
      <c r="C18" s="21">
        <v>40908</v>
      </c>
      <c r="D18" s="21">
        <v>56784</v>
      </c>
      <c r="E18" s="21">
        <v>37086</v>
      </c>
      <c r="F18" s="21">
        <v>37296</v>
      </c>
      <c r="G18" s="21">
        <v>60144</v>
      </c>
      <c r="H18" s="22">
        <v>61656</v>
      </c>
      <c r="I18" s="21">
        <v>39984</v>
      </c>
    </row>
    <row r="19" spans="1:22" ht="15.75">
      <c r="A19" s="4" t="s">
        <v>16</v>
      </c>
      <c r="B19" s="22">
        <v>22449.3</v>
      </c>
      <c r="C19" s="21">
        <v>40698</v>
      </c>
      <c r="D19" s="21">
        <v>50400</v>
      </c>
      <c r="E19" s="21">
        <v>25452</v>
      </c>
      <c r="F19" s="21">
        <v>43008</v>
      </c>
      <c r="G19" s="21">
        <v>58758</v>
      </c>
      <c r="H19" s="22">
        <v>52542</v>
      </c>
      <c r="I19" s="21">
        <v>7000</v>
      </c>
    </row>
    <row r="20" spans="1:22" ht="15.75">
      <c r="A20" s="4" t="s">
        <v>18</v>
      </c>
      <c r="B20" s="22">
        <v>27348</v>
      </c>
      <c r="C20" s="21">
        <v>37254</v>
      </c>
      <c r="D20" s="21">
        <v>41748</v>
      </c>
      <c r="E20" s="21">
        <v>24738</v>
      </c>
      <c r="F20" s="21">
        <v>20790</v>
      </c>
      <c r="G20" s="21">
        <v>57624</v>
      </c>
      <c r="H20" s="21">
        <v>51114</v>
      </c>
      <c r="I20" s="21">
        <v>7000</v>
      </c>
    </row>
    <row r="21" spans="1:22" ht="15.75">
      <c r="A21" s="1" t="s">
        <v>19</v>
      </c>
      <c r="B21" s="6">
        <f t="shared" ref="B21:H21" si="0">SUM(B9:B20)</f>
        <v>305543</v>
      </c>
      <c r="C21" s="9">
        <f t="shared" si="0"/>
        <v>410414</v>
      </c>
      <c r="D21" s="9">
        <f t="shared" si="0"/>
        <v>520044</v>
      </c>
      <c r="E21" s="9">
        <f t="shared" si="0"/>
        <v>371154</v>
      </c>
      <c r="F21" s="9">
        <f t="shared" si="0"/>
        <v>416808</v>
      </c>
      <c r="G21" s="9">
        <f t="shared" si="0"/>
        <v>623490</v>
      </c>
      <c r="H21" s="6">
        <f t="shared" si="0"/>
        <v>622902</v>
      </c>
      <c r="I21" s="2">
        <f>SUM(I9:I20)</f>
        <v>582974</v>
      </c>
      <c r="V21" t="s">
        <v>24</v>
      </c>
    </row>
    <row r="22" spans="1:22">
      <c r="B22" s="10"/>
      <c r="C22" s="10"/>
      <c r="D22" s="11"/>
      <c r="E22" s="10"/>
      <c r="F22" s="10"/>
      <c r="G22" s="11"/>
      <c r="H22" s="11"/>
    </row>
    <row r="26" spans="1:22">
      <c r="A26" s="36" t="s">
        <v>23</v>
      </c>
      <c r="B26" s="37"/>
      <c r="C26" s="37"/>
      <c r="D26" s="37"/>
      <c r="E26" s="37"/>
      <c r="F26" s="37"/>
      <c r="G26" s="37"/>
      <c r="H26" s="37"/>
      <c r="I26" s="38"/>
    </row>
    <row r="27" spans="1:22">
      <c r="A27" s="39"/>
      <c r="B27" s="40"/>
      <c r="C27" s="40"/>
      <c r="D27" s="40"/>
      <c r="E27" s="40"/>
      <c r="F27" s="40"/>
      <c r="G27" s="40"/>
      <c r="H27" s="40"/>
      <c r="I27" s="41"/>
    </row>
    <row r="28" spans="1:22">
      <c r="A28" s="42" t="s">
        <v>5</v>
      </c>
      <c r="B28" s="34">
        <v>2017</v>
      </c>
      <c r="C28" s="34">
        <v>2018</v>
      </c>
      <c r="D28" s="34">
        <v>2019</v>
      </c>
      <c r="E28" s="34">
        <v>2020</v>
      </c>
      <c r="F28" s="48">
        <v>2021</v>
      </c>
      <c r="G28" s="48">
        <v>2022</v>
      </c>
      <c r="H28" s="48">
        <v>2023</v>
      </c>
      <c r="I28" s="48">
        <v>2024</v>
      </c>
    </row>
    <row r="29" spans="1:22">
      <c r="A29" s="43"/>
      <c r="B29" s="35"/>
      <c r="C29" s="35"/>
      <c r="D29" s="35"/>
      <c r="E29" s="35"/>
      <c r="F29" s="49"/>
      <c r="G29" s="49"/>
      <c r="H29" s="49"/>
      <c r="I29" s="49"/>
    </row>
    <row r="30" spans="1:22" ht="15.75">
      <c r="A30" s="1" t="s">
        <v>6</v>
      </c>
      <c r="B30" s="29">
        <v>180485.59</v>
      </c>
      <c r="C30" s="22">
        <v>199250.9</v>
      </c>
      <c r="D30" s="22">
        <v>276145.84000000003</v>
      </c>
      <c r="E30" s="22">
        <v>394514.36</v>
      </c>
      <c r="F30" s="22">
        <v>274781.64</v>
      </c>
      <c r="G30" s="22">
        <v>498644.79</v>
      </c>
      <c r="H30" s="22">
        <v>672338.82</v>
      </c>
      <c r="I30" s="28">
        <v>440437.46</v>
      </c>
    </row>
    <row r="31" spans="1:22" ht="15.75">
      <c r="A31" s="1" t="s">
        <v>7</v>
      </c>
      <c r="B31" s="29">
        <v>166683.94</v>
      </c>
      <c r="C31" s="22">
        <v>284053.93</v>
      </c>
      <c r="D31" s="22">
        <v>367939.87</v>
      </c>
      <c r="E31" s="22">
        <v>334483.36</v>
      </c>
      <c r="F31" s="22">
        <v>294172.15000000002</v>
      </c>
      <c r="G31" s="22">
        <v>449209.11</v>
      </c>
      <c r="H31" s="22">
        <v>792297.91</v>
      </c>
      <c r="I31" s="28">
        <v>580076.23</v>
      </c>
    </row>
    <row r="32" spans="1:22" ht="15.75">
      <c r="A32" s="1" t="s">
        <v>8</v>
      </c>
      <c r="B32" s="29">
        <v>236301.83</v>
      </c>
      <c r="C32" s="22">
        <v>303924.57</v>
      </c>
      <c r="D32" s="22">
        <v>372401.35</v>
      </c>
      <c r="E32" s="22">
        <v>329780.98</v>
      </c>
      <c r="F32" s="22">
        <v>313444.78999999998</v>
      </c>
      <c r="G32" s="22">
        <v>569806.05000000005</v>
      </c>
      <c r="H32" s="22">
        <v>691375.55</v>
      </c>
      <c r="I32" s="5">
        <v>623646.29</v>
      </c>
    </row>
    <row r="33" spans="1:9" ht="15.75">
      <c r="A33" s="1" t="s">
        <v>9</v>
      </c>
      <c r="B33" s="29">
        <v>158936.4</v>
      </c>
      <c r="C33" s="22">
        <v>288557.61</v>
      </c>
      <c r="D33" s="22">
        <v>389843.98</v>
      </c>
      <c r="E33" s="22">
        <v>193989.2</v>
      </c>
      <c r="F33" s="22">
        <v>315380.82</v>
      </c>
      <c r="G33" s="22">
        <v>687609.01</v>
      </c>
      <c r="H33" s="22">
        <v>807727.41</v>
      </c>
      <c r="I33" s="5">
        <v>575019.54</v>
      </c>
    </row>
    <row r="34" spans="1:9" ht="15.75">
      <c r="A34" s="1" t="s">
        <v>10</v>
      </c>
      <c r="B34" s="29">
        <v>181762.39</v>
      </c>
      <c r="C34" s="22">
        <v>292640.07</v>
      </c>
      <c r="D34" s="22">
        <v>394381.4</v>
      </c>
      <c r="E34" s="22">
        <v>265627.63</v>
      </c>
      <c r="F34" s="22">
        <v>362828.6</v>
      </c>
      <c r="G34" s="22">
        <v>766916.09</v>
      </c>
      <c r="H34" s="22">
        <v>913728.04</v>
      </c>
      <c r="I34" s="8">
        <v>683976.65</v>
      </c>
    </row>
    <row r="35" spans="1:9" ht="15.75">
      <c r="A35" s="1" t="s">
        <v>11</v>
      </c>
      <c r="B35" s="29">
        <v>191392.76</v>
      </c>
      <c r="C35" s="22">
        <v>341297.98</v>
      </c>
      <c r="D35" s="22">
        <v>415021.73</v>
      </c>
      <c r="E35" s="22">
        <v>311087.99</v>
      </c>
      <c r="F35" s="22">
        <v>383823.89</v>
      </c>
      <c r="G35" s="22">
        <v>724922.71</v>
      </c>
      <c r="H35" s="22">
        <v>636933.02</v>
      </c>
      <c r="I35" s="5">
        <v>561358.76</v>
      </c>
    </row>
    <row r="36" spans="1:9" ht="15.75">
      <c r="A36" s="4" t="s">
        <v>12</v>
      </c>
      <c r="B36" s="29">
        <v>211798.22</v>
      </c>
      <c r="C36" s="22">
        <v>379869.84</v>
      </c>
      <c r="D36" s="22">
        <v>481341.86</v>
      </c>
      <c r="E36" s="22">
        <v>343580.62</v>
      </c>
      <c r="F36" s="22">
        <v>434130.12</v>
      </c>
      <c r="G36" s="22">
        <v>721600.9</v>
      </c>
      <c r="H36" s="22">
        <v>426004.12099999998</v>
      </c>
      <c r="I36" s="5">
        <v>508953.74</v>
      </c>
    </row>
    <row r="37" spans="1:9" ht="15.75">
      <c r="A37" s="4" t="s">
        <v>13</v>
      </c>
      <c r="B37" s="29">
        <v>255473.97</v>
      </c>
      <c r="C37" s="22">
        <v>365856.65</v>
      </c>
      <c r="D37" s="22">
        <v>489878.35</v>
      </c>
      <c r="E37" s="22">
        <v>324676.57</v>
      </c>
      <c r="F37" s="22">
        <v>501370.56</v>
      </c>
      <c r="G37" s="22">
        <v>789611.47</v>
      </c>
      <c r="H37" s="22">
        <v>638834.21</v>
      </c>
      <c r="I37" s="5">
        <v>648124.84</v>
      </c>
    </row>
    <row r="38" spans="1:9" ht="15.75">
      <c r="A38" s="4" t="s">
        <v>14</v>
      </c>
      <c r="B38" s="29">
        <v>240711</v>
      </c>
      <c r="C38" s="22">
        <v>376934.52</v>
      </c>
      <c r="D38" s="22">
        <v>527848.55000000005</v>
      </c>
      <c r="E38" s="22">
        <v>311810.7</v>
      </c>
      <c r="F38" s="22">
        <v>446788.42</v>
      </c>
      <c r="G38" s="22">
        <v>996949.44</v>
      </c>
      <c r="H38" s="22">
        <v>684775.94</v>
      </c>
      <c r="I38" s="25">
        <v>718327.94</v>
      </c>
    </row>
    <row r="39" spans="1:9" ht="15.75">
      <c r="A39" s="4" t="s">
        <v>15</v>
      </c>
      <c r="B39" s="29">
        <v>221029.26</v>
      </c>
      <c r="C39" s="22">
        <v>370342.78</v>
      </c>
      <c r="D39" s="22">
        <v>493782.58</v>
      </c>
      <c r="E39" s="22">
        <v>345975.18</v>
      </c>
      <c r="F39" s="22">
        <v>430644.97</v>
      </c>
      <c r="G39" s="22">
        <v>1061880.3200000001</v>
      </c>
      <c r="H39" s="22">
        <v>683803.94</v>
      </c>
      <c r="I39" s="22">
        <v>478612.43</v>
      </c>
    </row>
    <row r="40" spans="1:9" ht="15.75">
      <c r="A40" s="4" t="s">
        <v>16</v>
      </c>
      <c r="B40" s="29">
        <v>195085.88</v>
      </c>
      <c r="C40" s="22">
        <v>391315.57</v>
      </c>
      <c r="D40" s="22">
        <v>461369.06</v>
      </c>
      <c r="E40" s="22">
        <v>257130.16</v>
      </c>
      <c r="F40" s="22">
        <v>505690.68</v>
      </c>
      <c r="G40" s="22">
        <v>1041553.5</v>
      </c>
      <c r="H40" s="22">
        <v>409177.74</v>
      </c>
      <c r="I40" s="22">
        <v>115789.85</v>
      </c>
    </row>
    <row r="41" spans="1:9" ht="15.75">
      <c r="A41" s="4" t="s">
        <v>18</v>
      </c>
      <c r="B41" s="29">
        <v>246081.32</v>
      </c>
      <c r="C41" s="22">
        <v>405221.01</v>
      </c>
      <c r="D41" s="22">
        <v>428902.9</v>
      </c>
      <c r="E41" s="22">
        <v>284250.99</v>
      </c>
      <c r="F41" s="22">
        <v>315522.36</v>
      </c>
      <c r="G41" s="22">
        <v>1020278.64</v>
      </c>
      <c r="H41" s="22">
        <v>548972.67000000004</v>
      </c>
      <c r="I41" s="22">
        <v>118283.71</v>
      </c>
    </row>
    <row r="42" spans="1:9" ht="15.75">
      <c r="A42" s="1" t="s">
        <v>19</v>
      </c>
      <c r="B42" s="27">
        <f t="shared" ref="B42:H42" si="1">SUM(B30:B41)</f>
        <v>2485742.56</v>
      </c>
      <c r="C42" s="7">
        <f t="shared" si="1"/>
        <v>3999265.4299999997</v>
      </c>
      <c r="D42" s="7">
        <f t="shared" si="1"/>
        <v>5098857.47</v>
      </c>
      <c r="E42" s="7">
        <f t="shared" si="1"/>
        <v>3696907.74</v>
      </c>
      <c r="F42" s="6">
        <f t="shared" si="1"/>
        <v>4578579</v>
      </c>
      <c r="G42" s="7">
        <f t="shared" si="1"/>
        <v>9328982.0300000012</v>
      </c>
      <c r="H42" s="13">
        <f t="shared" si="1"/>
        <v>7905969.3709999993</v>
      </c>
      <c r="I42" s="7">
        <f>SUM(I30:I41)</f>
        <v>6052607.4399999985</v>
      </c>
    </row>
    <row r="43" spans="1:9">
      <c r="B43" s="10"/>
      <c r="C43" s="10"/>
      <c r="D43" s="10"/>
      <c r="E43" s="10"/>
      <c r="F43" s="10"/>
      <c r="G43" s="10"/>
      <c r="H43" s="10"/>
      <c r="I43" s="11"/>
    </row>
  </sheetData>
  <mergeCells count="29">
    <mergeCell ref="A1:I1"/>
    <mergeCell ref="K1:S1"/>
    <mergeCell ref="G7:G8"/>
    <mergeCell ref="H7:H8"/>
    <mergeCell ref="A28:A29"/>
    <mergeCell ref="B28:B29"/>
    <mergeCell ref="A7:A8"/>
    <mergeCell ref="B7:B8"/>
    <mergeCell ref="C7:C8"/>
    <mergeCell ref="D7:D8"/>
    <mergeCell ref="E7:E8"/>
    <mergeCell ref="I7:I8"/>
    <mergeCell ref="A5:I6"/>
    <mergeCell ref="C28:C29"/>
    <mergeCell ref="X5:X6"/>
    <mergeCell ref="Y5:Y6"/>
    <mergeCell ref="Z5:Z6"/>
    <mergeCell ref="H28:H29"/>
    <mergeCell ref="T5:T6"/>
    <mergeCell ref="U5:U6"/>
    <mergeCell ref="V5:V6"/>
    <mergeCell ref="W5:W6"/>
    <mergeCell ref="I28:I29"/>
    <mergeCell ref="A26:I27"/>
    <mergeCell ref="D28:D29"/>
    <mergeCell ref="E28:E29"/>
    <mergeCell ref="F28:F29"/>
    <mergeCell ref="G28:G29"/>
    <mergeCell ref="F7:F8"/>
  </mergeCells>
  <pageMargins left="0.7" right="0.7" top="0.75" bottom="0.75" header="0.3" footer="0.3"/>
  <pageSetup paperSize="9" scale="65" orientation="portrait" horizontalDpi="4294967293" verticalDpi="0" r:id="rId1"/>
  <colBreaks count="2" manualBreakCount="2">
    <brk id="9" max="1048575" man="1"/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WATER METER CONSUMPTION 1</vt:lpstr>
      <vt:lpstr>WATER CONSUMPTION METER 2</vt:lpstr>
      <vt:lpstr>CNSC ELECTRICITY BILL 2017-2024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Odello</dc:creator>
  <cp:lastModifiedBy>Odello Dela Cruz</cp:lastModifiedBy>
  <cp:lastPrinted>2025-02-14T08:09:25Z</cp:lastPrinted>
  <dcterms:created xsi:type="dcterms:W3CDTF">2022-10-24T03:31:00Z</dcterms:created>
  <dcterms:modified xsi:type="dcterms:W3CDTF">2025-02-14T08:12:58Z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6E98C110C6BE49E394E3057370CFAAA9_12</vt:lpwstr>
  </property>
  <property fmtid="{D5CDD505-2E9C-101B-9397-08002B2CF9AE}" pid="3" name="KSOProductBuildVer">
    <vt:lpwstr>1033-12.2.0.19307</vt:lpwstr>
  </property>
</Properties>
</file>